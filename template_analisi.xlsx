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dre\Documents\GESTIONALE CERLAB\"/>
    </mc:Choice>
  </mc:AlternateContent>
  <xr:revisionPtr revIDLastSave="0" documentId="8_{E75B87EE-314E-4CEA-94FA-E9285DFA8DED}" xr6:coauthVersionLast="47" xr6:coauthVersionMax="47" xr10:uidLastSave="{00000000-0000-0000-0000-000000000000}"/>
  <bookViews>
    <workbookView xWindow="-108" yWindow="-108" windowWidth="41496" windowHeight="16776" activeTab="1" xr2:uid="{00000000-000D-0000-FFFF-FFFF00000000}"/>
  </bookViews>
  <sheets>
    <sheet name="Analisi" sheetId="1" r:id="rId1"/>
    <sheet name="CALCOLI" sheetId="2" r:id="rId2"/>
  </sheets>
  <calcPr calcId="191029"/>
</workbook>
</file>

<file path=xl/calcChain.xml><?xml version="1.0" encoding="utf-8"?>
<calcChain xmlns="http://schemas.openxmlformats.org/spreadsheetml/2006/main">
  <c r="A2" i="2" l="1"/>
  <c r="K21" i="2"/>
  <c r="G21" i="2"/>
  <c r="D21" i="2"/>
  <c r="K8" i="2"/>
  <c r="O8" i="2"/>
  <c r="N14" i="2"/>
  <c r="J14" i="2"/>
  <c r="D14" i="2"/>
  <c r="I8" i="2"/>
  <c r="E8" i="2"/>
  <c r="A8" i="2"/>
</calcChain>
</file>

<file path=xl/sharedStrings.xml><?xml version="1.0" encoding="utf-8"?>
<sst xmlns="http://schemas.openxmlformats.org/spreadsheetml/2006/main" count="33" uniqueCount="33">
  <si>
    <t>N. Preventivo</t>
  </si>
  <si>
    <t>Data</t>
  </si>
  <si>
    <t>Cliente</t>
  </si>
  <si>
    <t>Stato</t>
  </si>
  <si>
    <t>Totale Preventivo (€)</t>
  </si>
  <si>
    <t>Imponibile Cliente (€)</t>
  </si>
  <si>
    <t>IVA (€)</t>
  </si>
  <si>
    <t>Costi da Ordini (€)</t>
  </si>
  <si>
    <t>IVA su Ordini (€)</t>
  </si>
  <si>
    <t>Costo Negozio Stimato (€)</t>
  </si>
  <si>
    <t>Margine (€)</t>
  </si>
  <si>
    <t>FEE %</t>
  </si>
  <si>
    <t>FEE (€)</t>
  </si>
  <si>
    <t>Incassato (€)</t>
  </si>
  <si>
    <t>Da Incassare (€)</t>
  </si>
  <si>
    <t>Programmato Futuro (€)</t>
  </si>
  <si>
    <t>Esente IVA</t>
  </si>
  <si>
    <t>Stato Fattura</t>
  </si>
  <si>
    <t>Stato Pagamento</t>
  </si>
  <si>
    <t>Venditore</t>
  </si>
  <si>
    <t>Stato Consegna</t>
  </si>
  <si>
    <t>TOTALI PREVENTIVI</t>
  </si>
  <si>
    <t>IMPORTO PREVENTIVI TOTALE</t>
  </si>
  <si>
    <t>TOTALE IMPONIBILI</t>
  </si>
  <si>
    <t>TOT IVA</t>
  </si>
  <si>
    <t xml:space="preserve">TOT CONFERME ORDINE </t>
  </si>
  <si>
    <t>TOT COSTI PRESUNTI</t>
  </si>
  <si>
    <t>IVA SU ORDINI</t>
  </si>
  <si>
    <t>MARGINE</t>
  </si>
  <si>
    <t>FEE VERSATA</t>
  </si>
  <si>
    <t xml:space="preserve">DA INCASSARE </t>
  </si>
  <si>
    <t>INCASSATI</t>
  </si>
  <si>
    <t>PROGRAMMATI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</si>
</sst>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9" fontId="1" fillId="0" borderId="1" xfId="0" applyNumberFormat="1" applyFont="1" applyBorder="1" applyAlignment="1">
      <alignment horizontal="center" vertical="top"/>
    </xf>
    <xf numFmtId="9" fontId="0" fillId="0" borderId="0" xfId="0" applyNumberFormat="1"/>
    <xf numFmtId="0" fontId="4" fillId="2" borderId="0" xfId="0" applyFont="1" applyFill="1" applyAlignment="1">
      <alignment horizontal="center" vertical="center"/>
    </xf>
    <xf numFmtId="0" fontId="3" fillId="2" borderId="0" xfId="0" applyFont="1" applyFill="1"/>
    <xf numFmtId="164" fontId="3" fillId="2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/>
    </xf>
    <xf numFmtId="164" fontId="0" fillId="8" borderId="0" xfId="0" applyNumberFormat="1" applyFill="1" applyAlignment="1">
      <alignment horizontal="center" vertical="center"/>
    </xf>
    <xf numFmtId="0" fontId="0" fillId="9" borderId="0" xfId="0" applyFill="1" applyAlignment="1">
      <alignment horizontal="center"/>
    </xf>
    <xf numFmtId="164" fontId="0" fillId="9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164" fontId="0" fillId="10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164" fontId="0" fillId="11" borderId="0" xfId="0" applyNumberFormat="1" applyFill="1" applyAlignment="1">
      <alignment horizontal="center" vertical="center"/>
    </xf>
  </cellXfs>
  <cellStyles count="1">
    <cellStyle name="Normale" xfId="0" builtinId="0"/>
  </cellStyles>
  <dxfs count="15">
    <dxf>
      <numFmt numFmtId="13" formatCode="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2F0BC3-5AEB-4B07-BBE9-DD4606B1A9BB}" name="Tabella1" displayName="Tabella1" ref="A1:U2" insertRow="1" totalsRowShown="0" headerRowDxfId="12" headerRowBorderDxfId="13" tableBorderDxfId="14">
  <autoFilter ref="A1:U2" xr:uid="{912F0BC3-5AEB-4B07-BBE9-DD4606B1A9BB}"/>
  <tableColumns count="21">
    <tableColumn id="1" xr3:uid="{BC2A5C5D-6813-4FB8-8246-70716F670ED9}" name="N. Preventivo"/>
    <tableColumn id="2" xr3:uid="{0FEA497F-40EA-4E32-AC09-564AA7524DBB}" name="Data"/>
    <tableColumn id="3" xr3:uid="{CAB6FABB-8EC5-4E99-8C92-07506DCF635E}" name="Cliente"/>
    <tableColumn id="4" xr3:uid="{029A5517-7A56-46F8-B646-168C75F92BF8}" name="Stato"/>
    <tableColumn id="5" xr3:uid="{325D5564-43E5-4A79-AF67-9E078E924ECA}" name="Totale Preventivo (€)" dataDxfId="11"/>
    <tableColumn id="6" xr3:uid="{72B3006C-351A-4547-9298-EBDB19F4EE85}" name="Imponibile Cliente (€)" dataDxfId="10"/>
    <tableColumn id="7" xr3:uid="{C5AB3EB3-C3C8-4D96-845B-9D5C8FE59180}" name="IVA (€)" dataDxfId="9"/>
    <tableColumn id="8" xr3:uid="{AC6F4E5C-9AF1-469C-95C8-C3F9555B8288}" name="Costi da Ordini (€)" dataDxfId="8"/>
    <tableColumn id="9" xr3:uid="{E68DDBB8-CDA8-46BE-A17A-CE1EFDB6171A}" name="IVA su Ordini (€)" dataDxfId="7"/>
    <tableColumn id="10" xr3:uid="{32C87DDC-2A36-477F-952A-06BACFC6F49E}" name="Costo Negozio Stimato (€)" dataDxfId="6"/>
    <tableColumn id="11" xr3:uid="{DADD8BEC-3CC1-41DE-AAF6-F66DFDB6A5F5}" name="Margine (€)" dataDxfId="5"/>
    <tableColumn id="12" xr3:uid="{7707D6A9-7315-483E-86FC-B43691A143AA}" name="FEE %" dataDxfId="0"/>
    <tableColumn id="13" xr3:uid="{7117B9DA-CD20-4C1C-83FA-D607896FAEF0}" name="FEE (€)" dataDxfId="4"/>
    <tableColumn id="14" xr3:uid="{303E9C08-FD8A-46DC-8B75-A0F1F5DBADC3}" name="Incassato (€)" dataDxfId="3"/>
    <tableColumn id="15" xr3:uid="{BB338771-39DB-467E-A6D8-23A3AA07E5D3}" name="Da Incassare (€)" dataDxfId="2"/>
    <tableColumn id="16" xr3:uid="{CA605639-FC6B-44B5-9984-1955225D2D03}" name="Programmato Futuro (€)" dataDxfId="1"/>
    <tableColumn id="17" xr3:uid="{033FDB81-21C6-4F2B-B9EC-8C24E249FC25}" name="Esente IVA"/>
    <tableColumn id="18" xr3:uid="{510FD033-10F0-4F36-93A0-F7075CA10FA9}" name="Stato Fattura"/>
    <tableColumn id="19" xr3:uid="{83417330-417B-4683-8A5B-892533CB4B70}" name="Stato Pagamento"/>
    <tableColumn id="20" xr3:uid="{A6581029-523D-4FA6-B12B-3BD1D0C115EA}" name="Venditore"/>
    <tableColumn id="21" xr3:uid="{DDD9F9E1-0970-41D6-8F69-F5FC36B6A39D}" name="Stato Consegna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workbookViewId="0">
      <selection activeCell="V60" sqref="V60"/>
    </sheetView>
  </sheetViews>
  <sheetFormatPr defaultRowHeight="14.4" x14ac:dyDescent="0.3"/>
  <cols>
    <col min="1" max="1" width="22" customWidth="1"/>
    <col min="2" max="2" width="12" customWidth="1"/>
    <col min="3" max="3" width="37" customWidth="1"/>
    <col min="4" max="4" width="16" customWidth="1"/>
    <col min="5" max="5" width="23" style="3" customWidth="1"/>
    <col min="6" max="6" width="24" style="3" customWidth="1"/>
    <col min="7" max="7" width="15.88671875" style="3" customWidth="1"/>
    <col min="8" max="8" width="21" style="3" customWidth="1"/>
    <col min="9" max="9" width="20" style="3" customWidth="1"/>
    <col min="10" max="10" width="27" style="3" customWidth="1"/>
    <col min="11" max="11" width="20" style="3" customWidth="1"/>
    <col min="12" max="12" width="9.6640625" style="5" customWidth="1"/>
    <col min="13" max="13" width="11" style="3" customWidth="1"/>
    <col min="14" max="14" width="20" style="3" customWidth="1"/>
    <col min="15" max="15" width="24" style="3" customWidth="1"/>
    <col min="16" max="16" width="24.88671875" style="3" customWidth="1"/>
    <col min="17" max="17" width="13.5546875" customWidth="1"/>
    <col min="18" max="18" width="15" customWidth="1"/>
    <col min="19" max="19" width="17.44140625" customWidth="1"/>
    <col min="20" max="20" width="25" customWidth="1"/>
    <col min="21" max="21" width="16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CEEC2-8C68-4275-8DD7-766B6ADF4515}">
  <dimension ref="A1:P22"/>
  <sheetViews>
    <sheetView tabSelected="1" workbookViewId="0">
      <selection activeCell="C31" sqref="C31"/>
    </sheetView>
  </sheetViews>
  <sheetFormatPr defaultRowHeight="14.4" x14ac:dyDescent="0.3"/>
  <cols>
    <col min="1" max="1" width="17.6640625" customWidth="1"/>
    <col min="3" max="3" width="11.109375" customWidth="1"/>
    <col min="4" max="4" width="11.44140625" bestFit="1" customWidth="1"/>
    <col min="8" max="8" width="2.88671875" customWidth="1"/>
    <col min="9" max="9" width="10.6640625" customWidth="1"/>
    <col min="11" max="11" width="10.44140625" bestFit="1" customWidth="1"/>
    <col min="13" max="13" width="10.44140625" bestFit="1" customWidth="1"/>
    <col min="17" max="17" width="11.44140625" bestFit="1" customWidth="1"/>
    <col min="20" max="20" width="9.44140625" bestFit="1" customWidth="1"/>
    <col min="23" max="23" width="11.44140625" bestFit="1" customWidth="1"/>
    <col min="26" max="26" width="9.44140625" bestFit="1" customWidth="1"/>
    <col min="28" max="28" width="11.44140625" bestFit="1" customWidth="1"/>
    <col min="31" max="31" width="10.44140625" bestFit="1" customWidth="1"/>
  </cols>
  <sheetData>
    <row r="1" spans="1:16" ht="23.4" x14ac:dyDescent="0.3">
      <c r="A1" s="6" t="s">
        <v>21</v>
      </c>
      <c r="B1" s="6"/>
      <c r="C1" s="6"/>
    </row>
    <row r="2" spans="1:16" ht="23.4" x14ac:dyDescent="0.3">
      <c r="A2" s="6">
        <f>COUNTA(Tabella1[N. Preventivo])</f>
        <v>0</v>
      </c>
      <c r="B2" s="6"/>
      <c r="C2" s="6"/>
    </row>
    <row r="7" spans="1:16" ht="21" x14ac:dyDescent="0.4">
      <c r="A7" s="7" t="s">
        <v>22</v>
      </c>
      <c r="B7" s="7"/>
      <c r="C7" s="7"/>
      <c r="E7" s="9" t="s">
        <v>23</v>
      </c>
      <c r="F7" s="9"/>
      <c r="G7" s="9"/>
      <c r="I7" s="11" t="s">
        <v>24</v>
      </c>
      <c r="K7" s="21" t="s">
        <v>29</v>
      </c>
      <c r="L7" s="21"/>
      <c r="O7" s="19" t="s">
        <v>28</v>
      </c>
      <c r="P7" s="19"/>
    </row>
    <row r="8" spans="1:16" ht="55.8" customHeight="1" x14ac:dyDescent="0.3">
      <c r="A8" s="8">
        <f>SUM(Tabella1[Totale Preventivo (€)])</f>
        <v>0</v>
      </c>
      <c r="B8" s="8"/>
      <c r="C8" s="8"/>
      <c r="E8" s="10">
        <f>SUM(Tabella1[Imponibile Cliente (€)])</f>
        <v>0</v>
      </c>
      <c r="F8" s="10"/>
      <c r="G8" s="10"/>
      <c r="I8" s="12">
        <f>SUM(Tabella1[IVA (€)])</f>
        <v>0</v>
      </c>
      <c r="K8" s="22">
        <f>SUM(Tabella1[FEE (€)])</f>
        <v>0</v>
      </c>
      <c r="L8" s="22"/>
      <c r="O8" s="20">
        <f>SUM(Tabella1[Margine (€)])</f>
        <v>0</v>
      </c>
      <c r="P8" s="20"/>
    </row>
    <row r="12" spans="1:16" ht="14.4" customHeight="1" x14ac:dyDescent="0.3">
      <c r="D12" s="13" t="s">
        <v>25</v>
      </c>
      <c r="E12" s="13"/>
      <c r="F12" s="13"/>
      <c r="G12" s="13"/>
      <c r="J12" s="15" t="s">
        <v>26</v>
      </c>
      <c r="K12" s="15"/>
      <c r="L12" s="15"/>
      <c r="N12" s="17" t="s">
        <v>27</v>
      </c>
      <c r="O12" s="17"/>
    </row>
    <row r="13" spans="1:16" ht="14.4" customHeight="1" x14ac:dyDescent="0.3">
      <c r="D13" s="13"/>
      <c r="E13" s="13"/>
      <c r="F13" s="13"/>
      <c r="G13" s="13"/>
      <c r="J13" s="15"/>
      <c r="K13" s="15"/>
      <c r="L13" s="15"/>
      <c r="N13" s="17"/>
      <c r="O13" s="17"/>
    </row>
    <row r="14" spans="1:16" x14ac:dyDescent="0.3">
      <c r="D14" s="14">
        <f>SUM(Tabella1[Costi da Ordini (€)])</f>
        <v>0</v>
      </c>
      <c r="E14" s="14"/>
      <c r="F14" s="14"/>
      <c r="G14" s="14"/>
      <c r="J14" s="16">
        <f>SUM(Tabella1[Costo Negozio Stimato (€)])</f>
        <v>0</v>
      </c>
      <c r="K14" s="16"/>
      <c r="L14" s="16"/>
      <c r="N14" s="18">
        <f>SUM(Tabella1[IVA su Ordini (€)])</f>
        <v>0</v>
      </c>
      <c r="O14" s="18"/>
    </row>
    <row r="15" spans="1:16" x14ac:dyDescent="0.3">
      <c r="D15" s="14"/>
      <c r="E15" s="14"/>
      <c r="F15" s="14"/>
      <c r="G15" s="14"/>
      <c r="J15" s="16"/>
      <c r="K15" s="16"/>
      <c r="L15" s="16"/>
      <c r="N15" s="18"/>
      <c r="O15" s="18"/>
    </row>
    <row r="19" spans="4:12" x14ac:dyDescent="0.3">
      <c r="D19" s="23" t="s">
        <v>30</v>
      </c>
      <c r="E19" s="23"/>
      <c r="G19" s="25" t="s">
        <v>31</v>
      </c>
      <c r="H19" s="25"/>
      <c r="I19" s="25"/>
      <c r="K19" s="26" t="s">
        <v>32</v>
      </c>
      <c r="L19" s="26"/>
    </row>
    <row r="20" spans="4:12" x14ac:dyDescent="0.3">
      <c r="D20" s="23"/>
      <c r="E20" s="23"/>
      <c r="G20" s="25"/>
      <c r="H20" s="25"/>
      <c r="I20" s="25"/>
      <c r="K20" s="26"/>
      <c r="L20" s="26"/>
    </row>
    <row r="21" spans="4:12" x14ac:dyDescent="0.3">
      <c r="D21" s="24">
        <f>SUM(Tabella1[Da Incassare (€)])</f>
        <v>0</v>
      </c>
      <c r="E21" s="24"/>
      <c r="G21" s="10">
        <f>SUM(Tabella1[Incassato (€)])</f>
        <v>0</v>
      </c>
      <c r="H21" s="10"/>
      <c r="I21" s="10"/>
      <c r="K21" s="27">
        <f>SUM(Tabella1[Programmato Futuro (€)])</f>
        <v>0</v>
      </c>
      <c r="L21" s="27"/>
    </row>
    <row r="22" spans="4:12" x14ac:dyDescent="0.3">
      <c r="D22" s="24"/>
      <c r="E22" s="24"/>
      <c r="G22" s="10"/>
      <c r="H22" s="10"/>
      <c r="I22" s="10"/>
      <c r="K22" s="27"/>
      <c r="L22" s="27"/>
    </row>
  </sheetData>
  <mergeCells count="21">
    <mergeCell ref="D19:E20"/>
    <mergeCell ref="D21:E22"/>
    <mergeCell ref="G19:I20"/>
    <mergeCell ref="G21:I22"/>
    <mergeCell ref="K19:L20"/>
    <mergeCell ref="K21:L22"/>
    <mergeCell ref="N14:O15"/>
    <mergeCell ref="N12:O13"/>
    <mergeCell ref="O7:P7"/>
    <mergeCell ref="O8:P8"/>
    <mergeCell ref="K7:L7"/>
    <mergeCell ref="K8:L8"/>
    <mergeCell ref="D12:G13"/>
    <mergeCell ref="D14:G15"/>
    <mergeCell ref="J12:L13"/>
    <mergeCell ref="J14:L15"/>
    <mergeCell ref="A2:C2"/>
    <mergeCell ref="A8:C8"/>
    <mergeCell ref="E7:G7"/>
    <mergeCell ref="E8:G8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Analisi</vt:lpstr>
      <vt:lpstr>CALCOLI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Tardocchi</cp:lastModifiedBy>
  <dcterms:created xsi:type="dcterms:W3CDTF">2026-01-23T17:22:16Z</dcterms:created>
  <dcterms:modified xsi:type="dcterms:W3CDTF">2026-01-23T17:45:54Z</dcterms:modified>
</cp:coreProperties>
</file>