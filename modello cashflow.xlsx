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ocuments\GESTIONALE CERLAB\"/>
    </mc:Choice>
  </mc:AlternateContent>
  <xr:revisionPtr revIDLastSave="0" documentId="13_ncr:1_{2F44CD39-A518-4457-A028-B4B3C4F15C6B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Cashflow" sheetId="1" r:id="rId1"/>
    <sheet name="CALCOLI" sheetId="2" r:id="rId2"/>
  </sheets>
  <calcPr calcId="191029"/>
</workbook>
</file>

<file path=xl/calcChain.xml><?xml version="1.0" encoding="utf-8"?>
<calcChain xmlns="http://schemas.openxmlformats.org/spreadsheetml/2006/main">
  <c r="E6" i="2" l="1"/>
  <c r="B20" i="2"/>
  <c r="E14" i="2"/>
  <c r="B14" i="2"/>
  <c r="B6" i="2"/>
  <c r="I6" i="2" l="1"/>
  <c r="I14" i="2"/>
</calcChain>
</file>

<file path=xl/sharedStrings.xml><?xml version="1.0" encoding="utf-8"?>
<sst xmlns="http://schemas.openxmlformats.org/spreadsheetml/2006/main" count="20" uniqueCount="20">
  <si>
    <t>N. PREVENTIVO</t>
  </si>
  <si>
    <t>CLIENTE</t>
  </si>
  <si>
    <t>STATO</t>
  </si>
  <si>
    <t>VENDITORE</t>
  </si>
  <si>
    <t>ID (Rif.)</t>
  </si>
  <si>
    <t>DATA TRANSAZIONE</t>
  </si>
  <si>
    <t>ENTRATE NETTE (€)</t>
  </si>
  <si>
    <t>USCITE NETTE (€)</t>
  </si>
  <si>
    <t>IVA ORDINE (€)</t>
  </si>
  <si>
    <t>IVA PREVENTIVO (€)</t>
  </si>
  <si>
    <t>IVA ESENTE (€)</t>
  </si>
  <si>
    <t>TIPO</t>
  </si>
  <si>
    <t>ENTRATE</t>
  </si>
  <si>
    <t>USCITE</t>
  </si>
  <si>
    <t>BILANCIO</t>
  </si>
  <si>
    <t>IVA ORDINE PAGATA</t>
  </si>
  <si>
    <t>IVA PREVENTIVI RICEVUTA</t>
  </si>
  <si>
    <t>BILANCIO IVA</t>
  </si>
  <si>
    <t>IVA ESENTE</t>
  </si>
  <si>
    <t xml:space="preserve">FEE VERSATA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</si>
</sst>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\ &quot;€&quot;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2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165" fontId="0" fillId="2" borderId="0" xfId="0" applyNumberFormat="1" applyFill="1"/>
    <xf numFmtId="165" fontId="0" fillId="3" borderId="0" xfId="0" applyNumberFormat="1" applyFill="1"/>
    <xf numFmtId="165" fontId="1" fillId="0" borderId="1" xfId="0" applyNumberFormat="1" applyFont="1" applyBorder="1" applyAlignment="1">
      <alignment horizontal="center" vertical="top"/>
    </xf>
    <xf numFmtId="165" fontId="7" fillId="3" borderId="1" xfId="0" applyNumberFormat="1" applyFont="1" applyFill="1" applyBorder="1" applyAlignment="1">
      <alignment horizontal="center" vertical="top"/>
    </xf>
    <xf numFmtId="165" fontId="5" fillId="4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3" fillId="7" borderId="0" xfId="0" applyNumberFormat="1" applyFont="1" applyFill="1" applyAlignment="1">
      <alignment horizontal="center" vertical="center"/>
    </xf>
  </cellXfs>
  <cellStyles count="1">
    <cellStyle name="Normale" xfId="0" builtinId="0"/>
  </cellStyles>
  <dxfs count="10"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  <fill>
        <patternFill patternType="solid">
          <fgColor indexed="64"/>
          <bgColor theme="5" tint="0.39997558519241921"/>
        </patternFill>
      </fill>
    </dxf>
    <dxf>
      <numFmt numFmtId="165" formatCode="#,##0.00\ &quot;€&quot;"/>
      <fill>
        <patternFill patternType="solid">
          <fgColor indexed="64"/>
          <bgColor theme="5" tint="0.39997558519241921"/>
        </patternFill>
      </fill>
    </dxf>
    <dxf>
      <numFmt numFmtId="165" formatCode="#,##0.00\ &quot;€&quot;"/>
      <fill>
        <patternFill patternType="solid">
          <fgColor indexed="64"/>
          <bgColor theme="6" tint="0.39997558519241921"/>
        </patternFill>
      </fill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C8481-2A26-46AA-8B6F-41205B0E93E8}" name="Tabella1" displayName="Tabella1" ref="A1:M2" insertRow="1" totalsRowShown="0" headerRowDxfId="9" headerRowBorderDxfId="8" tableBorderDxfId="7">
  <autoFilter ref="A1:M2" xr:uid="{509C8481-2A26-46AA-8B6F-41205B0E93E8}"/>
  <tableColumns count="13">
    <tableColumn id="1" xr3:uid="{8F35CD4E-4C61-4B64-A06F-8CF96E612D06}" name="N. PREVENTIVO"/>
    <tableColumn id="2" xr3:uid="{35EDE064-5686-428D-9596-1837E2229C1A}" name="CLIENTE"/>
    <tableColumn id="3" xr3:uid="{636637F8-9D46-437A-9EC6-BD3D5659FF2A}" name="STATO"/>
    <tableColumn id="4" xr3:uid="{7FB22322-5E40-41A6-8BB9-768BA25702F4}" name="VENDITORE"/>
    <tableColumn id="5" xr3:uid="{AB9B2E06-A939-4AA1-AFB3-2D8A77BD0F6B}" name="ID (Rif.)"/>
    <tableColumn id="6" xr3:uid="{BF1685BD-3241-4D1F-9E48-0887FD3F26A7}" name="DATA TRANSAZIONE" dataDxfId="6"/>
    <tableColumn id="7" xr3:uid="{2EF74BC2-C7EF-43A3-89DD-FFDA883315EE}" name="ENTRATE NETTE (€)" dataDxfId="5"/>
    <tableColumn id="8" xr3:uid="{66EEB941-3A37-4248-8299-3D5514F49C2E}" name="USCITE NETTE (€)" dataDxfId="4"/>
    <tableColumn id="13" xr3:uid="{526A842B-D188-4EAD-A1AD-282136A1E6A5}" name="FEE VERSATA " dataDxfId="3"/>
    <tableColumn id="9" xr3:uid="{5DB3B4EB-D4BE-41C1-9F93-F6D250E5AAE7}" name="IVA ORDINE (€)" dataDxfId="2"/>
    <tableColumn id="10" xr3:uid="{C03AB738-F52F-459A-8061-057CA8657529}" name="IVA PREVENTIVO (€)" dataDxfId="1"/>
    <tableColumn id="11" xr3:uid="{4728D6AC-02A6-4A7E-9220-4B436E50F3F0}" name="IVA ESENTE (€)" dataDxfId="0"/>
    <tableColumn id="12" xr3:uid="{F6504710-6736-4369-88D7-1F2E80DEE86D}" name="TIP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workbookViewId="0">
      <selection activeCell="B4" sqref="B4"/>
    </sheetView>
  </sheetViews>
  <sheetFormatPr defaultRowHeight="14.4" x14ac:dyDescent="0.3"/>
  <cols>
    <col min="1" max="2" width="22" customWidth="1"/>
    <col min="3" max="3" width="15.77734375" customWidth="1"/>
    <col min="4" max="4" width="22" customWidth="1"/>
    <col min="5" max="5" width="31.44140625" customWidth="1"/>
    <col min="6" max="6" width="21.88671875" customWidth="1"/>
    <col min="7" max="7" width="22" style="6" customWidth="1"/>
    <col min="8" max="8" width="22" style="7" customWidth="1"/>
    <col min="9" max="11" width="22" style="3" customWidth="1"/>
    <col min="12" max="12" width="22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9" t="s">
        <v>19</v>
      </c>
      <c r="J1" s="8" t="s">
        <v>8</v>
      </c>
      <c r="K1" s="8" t="s">
        <v>9</v>
      </c>
      <c r="L1" s="8" t="s">
        <v>10</v>
      </c>
      <c r="M1" s="2" t="s">
        <v>11</v>
      </c>
    </row>
    <row r="2" spans="1:13" x14ac:dyDescent="0.3">
      <c r="F2" s="1"/>
      <c r="I2" s="7"/>
      <c r="L2" s="3"/>
    </row>
    <row r="3" spans="1:13" x14ac:dyDescent="0.3">
      <c r="F3" s="1"/>
    </row>
    <row r="4" spans="1:13" x14ac:dyDescent="0.3">
      <c r="F4" s="1"/>
    </row>
    <row r="5" spans="1:13" x14ac:dyDescent="0.3">
      <c r="F5" s="1"/>
    </row>
    <row r="6" spans="1:13" x14ac:dyDescent="0.3">
      <c r="F6" s="1"/>
    </row>
    <row r="7" spans="1:13" x14ac:dyDescent="0.3">
      <c r="F7" s="1"/>
    </row>
    <row r="8" spans="1:13" x14ac:dyDescent="0.3">
      <c r="F8" s="1"/>
    </row>
    <row r="9" spans="1:13" x14ac:dyDescent="0.3">
      <c r="F9" s="1"/>
    </row>
    <row r="10" spans="1:13" x14ac:dyDescent="0.3">
      <c r="F10" s="1"/>
    </row>
    <row r="11" spans="1:13" x14ac:dyDescent="0.3">
      <c r="F11" s="1"/>
    </row>
    <row r="12" spans="1:13" x14ac:dyDescent="0.3">
      <c r="F12" s="1"/>
    </row>
    <row r="13" spans="1:13" x14ac:dyDescent="0.3">
      <c r="F13" s="1"/>
    </row>
    <row r="14" spans="1:13" x14ac:dyDescent="0.3">
      <c r="F14" s="1"/>
    </row>
    <row r="15" spans="1:13" x14ac:dyDescent="0.3">
      <c r="F15" s="1"/>
    </row>
    <row r="16" spans="1:13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03-EEA1-47B8-B2EF-0E40C8CD5A2E}">
  <dimension ref="B4:K21"/>
  <sheetViews>
    <sheetView tabSelected="1" workbookViewId="0">
      <selection activeCell="E6" sqref="E6:G7"/>
    </sheetView>
  </sheetViews>
  <sheetFormatPr defaultRowHeight="14.4" x14ac:dyDescent="0.3"/>
  <cols>
    <col min="9" max="9" width="9.44140625" bestFit="1" customWidth="1"/>
  </cols>
  <sheetData>
    <row r="4" spans="2:11" x14ac:dyDescent="0.3">
      <c r="B4" s="12" t="s">
        <v>12</v>
      </c>
      <c r="C4" s="12"/>
      <c r="D4" s="12"/>
      <c r="E4" s="13" t="s">
        <v>13</v>
      </c>
      <c r="F4" s="13"/>
      <c r="G4" s="13"/>
      <c r="I4" s="15" t="s">
        <v>14</v>
      </c>
      <c r="J4" s="15"/>
      <c r="K4" s="15"/>
    </row>
    <row r="5" spans="2:11" x14ac:dyDescent="0.3">
      <c r="B5" s="12"/>
      <c r="C5" s="12"/>
      <c r="D5" s="12"/>
      <c r="E5" s="13"/>
      <c r="F5" s="13"/>
      <c r="G5" s="13"/>
      <c r="I5" s="15"/>
      <c r="J5" s="15"/>
      <c r="K5" s="15"/>
    </row>
    <row r="6" spans="2:11" x14ac:dyDescent="0.3">
      <c r="B6" s="10">
        <f>SUM(Tabella1[ENTRATE NETTE (€)])</f>
        <v>0</v>
      </c>
      <c r="C6" s="10"/>
      <c r="D6" s="10"/>
      <c r="E6" s="11">
        <f>SUM(Tabella1[USCITE NETTE (€)])+SUM(Tabella1[[FEE VERSATA ]])</f>
        <v>0</v>
      </c>
      <c r="F6" s="11"/>
      <c r="G6" s="11"/>
      <c r="I6" s="14">
        <f>B6-E6</f>
        <v>0</v>
      </c>
      <c r="J6" s="14"/>
      <c r="K6" s="14"/>
    </row>
    <row r="7" spans="2:11" x14ac:dyDescent="0.3">
      <c r="B7" s="10"/>
      <c r="C7" s="10"/>
      <c r="D7" s="10"/>
      <c r="E7" s="11"/>
      <c r="F7" s="11"/>
      <c r="G7" s="11"/>
      <c r="I7" s="14"/>
      <c r="J7" s="14"/>
      <c r="K7" s="14"/>
    </row>
    <row r="12" spans="2:11" x14ac:dyDescent="0.3">
      <c r="B12" s="17" t="s">
        <v>15</v>
      </c>
      <c r="C12" s="17"/>
      <c r="D12" s="17"/>
      <c r="E12" s="18" t="s">
        <v>16</v>
      </c>
      <c r="F12" s="18"/>
      <c r="G12" s="18"/>
      <c r="I12" s="19" t="s">
        <v>17</v>
      </c>
      <c r="J12" s="19"/>
      <c r="K12" s="19"/>
    </row>
    <row r="13" spans="2:11" x14ac:dyDescent="0.3">
      <c r="B13" s="17"/>
      <c r="C13" s="17"/>
      <c r="D13" s="17"/>
      <c r="E13" s="18"/>
      <c r="F13" s="18"/>
      <c r="G13" s="18"/>
      <c r="I13" s="19"/>
      <c r="J13" s="19"/>
      <c r="K13" s="19"/>
    </row>
    <row r="14" spans="2:11" x14ac:dyDescent="0.3">
      <c r="B14" s="20">
        <f>SUM(Tabella1[IVA ORDINE (€)])</f>
        <v>0</v>
      </c>
      <c r="C14" s="20"/>
      <c r="D14" s="20"/>
      <c r="E14" s="21">
        <f>SUM(Tabella1[IVA PREVENTIVO (€)])</f>
        <v>0</v>
      </c>
      <c r="F14" s="21"/>
      <c r="G14" s="21"/>
      <c r="I14" s="22">
        <f>E14-B14</f>
        <v>0</v>
      </c>
      <c r="J14" s="22"/>
      <c r="K14" s="22"/>
    </row>
    <row r="15" spans="2:11" x14ac:dyDescent="0.3">
      <c r="B15" s="20"/>
      <c r="C15" s="20"/>
      <c r="D15" s="20"/>
      <c r="E15" s="21"/>
      <c r="F15" s="21"/>
      <c r="G15" s="21"/>
      <c r="I15" s="22"/>
      <c r="J15" s="22"/>
      <c r="K15" s="22"/>
    </row>
    <row r="18" spans="2:4" x14ac:dyDescent="0.3">
      <c r="B18" s="16" t="s">
        <v>18</v>
      </c>
      <c r="C18" s="16"/>
      <c r="D18" s="16"/>
    </row>
    <row r="19" spans="2:4" x14ac:dyDescent="0.3">
      <c r="B19" s="16"/>
      <c r="C19" s="16"/>
      <c r="D19" s="16"/>
    </row>
    <row r="20" spans="2:4" x14ac:dyDescent="0.3">
      <c r="B20" s="16">
        <f>SUM(Tabella1[IVA ESENTE (€)])</f>
        <v>0</v>
      </c>
      <c r="C20" s="16"/>
      <c r="D20" s="16"/>
    </row>
    <row r="21" spans="2:4" x14ac:dyDescent="0.3">
      <c r="B21" s="16"/>
      <c r="C21" s="16"/>
      <c r="D21" s="16"/>
    </row>
  </sheetData>
  <mergeCells count="14">
    <mergeCell ref="B18:D19"/>
    <mergeCell ref="B20:D21"/>
    <mergeCell ref="B12:D13"/>
    <mergeCell ref="E12:G13"/>
    <mergeCell ref="I12:K13"/>
    <mergeCell ref="B14:D15"/>
    <mergeCell ref="E14:G15"/>
    <mergeCell ref="I14:K15"/>
    <mergeCell ref="B6:D7"/>
    <mergeCell ref="E6:G7"/>
    <mergeCell ref="B4:D5"/>
    <mergeCell ref="E4:G5"/>
    <mergeCell ref="I6:K7"/>
    <mergeCell ref="I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Cashflow</vt:lpstr>
      <vt:lpstr>CALCOLI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Tardocchi</cp:lastModifiedBy>
  <dcterms:created xsi:type="dcterms:W3CDTF">2026-01-25T09:09:08Z</dcterms:created>
  <dcterms:modified xsi:type="dcterms:W3CDTF">2026-01-26T17:36:28Z</dcterms:modified>
</cp:coreProperties>
</file>